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<sst xmlns="http://schemas.openxmlformats.org/spreadsheetml/2006/main" count="14" uniqueCount="8">
  <si>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Male</t>
  </si>
  <si>
    <t>vivo</t>
  </si>
  <si>
    <t>L*</t>
  </si>
  <si>
    <t>a*</t>
  </si>
  <si>
    <t>b*</t>
  </si>
  <si>
    <t>C*</t>
  </si>
  <si>
    <t>h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</si>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</sst>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K24"/>
  <sheetViews>
    <sheetView tabSelected="1" workbookViewId="0">
      <selection activeCell="B23" sqref="B23:K23"/>
    </sheetView>
  </sheetViews>
  <sheetFormatPr defaultColWidth="9.02654867256637" defaultRowHeight="13.5"/>
  <cols>
    <col min="2" max="11" width="12.7964601769912"/>
  </cols>
  <sheetData>
    <row r="2" spans="2:11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</row>
    <row r="3" spans="1:11">
      <c r="A3" s="2" t="s">
        <v>0</v>
      </c>
      <c r="B3" s="1">
        <v>91</v>
      </c>
      <c r="C3" s="1">
        <v>97</v>
      </c>
      <c r="D3" s="2">
        <v>48</v>
      </c>
      <c r="E3" s="2">
        <v>59</v>
      </c>
      <c r="F3" s="2">
        <v>39</v>
      </c>
      <c r="G3" s="2" t="s">
        <v>1</v>
      </c>
      <c r="H3" s="2">
        <v>21</v>
      </c>
      <c r="I3" s="2">
        <v>46</v>
      </c>
      <c r="J3" s="2">
        <v>22</v>
      </c>
      <c r="K3" s="2">
        <v>28</v>
      </c>
    </row>
    <row r="4" spans="1:11">
      <c r="A4" s="2" t="s">
        <v>2</v>
      </c>
      <c r="B4">
        <v>68.1926666666667</v>
      </c>
      <c r="C4" s="3">
        <v>67.426</v>
      </c>
      <c r="D4">
        <v>65.0693333333333</v>
      </c>
      <c r="E4">
        <v>65.316</v>
      </c>
      <c r="F4">
        <v>60.988</v>
      </c>
      <c r="G4">
        <v>59.4893333333333</v>
      </c>
      <c r="H4">
        <v>55.368</v>
      </c>
      <c r="I4">
        <v>49.2153333333333</v>
      </c>
      <c r="J4">
        <v>34.5926666666667</v>
      </c>
      <c r="K4">
        <v>29.5313333333333</v>
      </c>
    </row>
    <row r="5" spans="1:11">
      <c r="A5" t="s">
        <v>3</v>
      </c>
      <c r="B5">
        <v>8.9</v>
      </c>
      <c r="C5">
        <v>7.47266666666667</v>
      </c>
      <c r="D5">
        <v>8.408</v>
      </c>
      <c r="E5">
        <v>8.734</v>
      </c>
      <c r="F5">
        <v>11.5093333333333</v>
      </c>
      <c r="G5">
        <v>12.306</v>
      </c>
      <c r="H5">
        <v>12.5586666666667</v>
      </c>
      <c r="I5">
        <v>11.7406666666667</v>
      </c>
      <c r="J5">
        <v>9.356</v>
      </c>
      <c r="K5">
        <v>5.054</v>
      </c>
    </row>
    <row r="6" spans="1:11">
      <c r="A6" t="s">
        <v>4</v>
      </c>
      <c r="B6">
        <v>14.314</v>
      </c>
      <c r="C6">
        <v>15.3446666666667</v>
      </c>
      <c r="D6">
        <v>15.6806666666667</v>
      </c>
      <c r="E6">
        <v>13.578</v>
      </c>
      <c r="F6">
        <v>17.3286666666667</v>
      </c>
      <c r="G6">
        <v>16.028</v>
      </c>
      <c r="H6">
        <v>20.0766666666667</v>
      </c>
      <c r="I6">
        <v>19.5253333333333</v>
      </c>
      <c r="J6">
        <v>10.722</v>
      </c>
      <c r="K6">
        <v>5.45466666666667</v>
      </c>
    </row>
    <row r="7" spans="1:11">
      <c r="A7" s="2" t="s">
        <v>5</v>
      </c>
      <c r="B7">
        <f>SQRT(B5^2+B6^2)</f>
        <v>16.8552839192937</v>
      </c>
      <c r="C7">
        <f t="shared" ref="C7:K7" si="0">SQRT(C5^2+C6^2)</f>
        <v>17.06749958905</v>
      </c>
      <c r="D7">
        <f t="shared" si="0"/>
        <v>17.7926324952524</v>
      </c>
      <c r="E7">
        <f t="shared" si="0"/>
        <v>16.1444987534454</v>
      </c>
      <c r="F7">
        <f t="shared" si="0"/>
        <v>20.802582585396</v>
      </c>
      <c r="G7">
        <f t="shared" si="0"/>
        <v>20.2072863096458</v>
      </c>
      <c r="H7">
        <f t="shared" si="0"/>
        <v>23.6810610591859</v>
      </c>
      <c r="I7">
        <f t="shared" si="0"/>
        <v>22.7833688368414</v>
      </c>
      <c r="J7">
        <f t="shared" si="0"/>
        <v>14.2301096271252</v>
      </c>
      <c r="K7">
        <f t="shared" si="0"/>
        <v>7.43614849531964</v>
      </c>
    </row>
    <row r="8" spans="1:11">
      <c r="A8" t="s">
        <v>6</v>
      </c>
      <c r="B8">
        <f>DEGREES(ATAN2(B5,B6))</f>
        <v>58.127936290821</v>
      </c>
      <c r="C8">
        <f>DEGREES(ATAN2(C5,C6))</f>
        <v>64.0344792343171</v>
      </c>
      <c r="D8">
        <f t="shared" ref="D8:K8" si="1">DEGREES(ATAN2(D5,D6))</f>
        <v>61.7997153411257</v>
      </c>
      <c r="E8">
        <f t="shared" si="1"/>
        <v>57.248994348899</v>
      </c>
      <c r="F8">
        <f t="shared" si="1"/>
        <v>56.4087296173888</v>
      </c>
      <c r="G8">
        <f t="shared" si="1"/>
        <v>52.4836169862826</v>
      </c>
      <c r="H8">
        <f t="shared" si="1"/>
        <v>57.9725608843276</v>
      </c>
      <c r="I8">
        <f t="shared" si="1"/>
        <v>58.9813263916754</v>
      </c>
      <c r="J8">
        <f t="shared" si="1"/>
        <v>48.8921014049021</v>
      </c>
      <c r="K8">
        <f t="shared" si="1"/>
        <v>47.1834734647907</v>
      </c>
    </row>
    <row r="18" spans="1:11">
      <c r="A18" s="1"/>
      <c r="B18" s="1">
        <v>1</v>
      </c>
      <c r="C18" s="1">
        <v>2</v>
      </c>
      <c r="D18" s="1">
        <v>3</v>
      </c>
      <c r="E18" s="1">
        <v>4</v>
      </c>
      <c r="F18" s="1">
        <v>5</v>
      </c>
      <c r="G18" s="1">
        <v>6</v>
      </c>
      <c r="H18" s="1">
        <v>7</v>
      </c>
      <c r="I18" s="1">
        <v>8</v>
      </c>
      <c r="J18" s="1">
        <v>9</v>
      </c>
      <c r="K18" s="1">
        <v>10</v>
      </c>
    </row>
    <row r="19" spans="1:11">
      <c r="A19" s="2" t="s">
        <v>7</v>
      </c>
      <c r="B19" s="2">
        <v>1</v>
      </c>
      <c r="C19" s="2">
        <v>4</v>
      </c>
      <c r="D19" s="2">
        <v>6</v>
      </c>
      <c r="E19" s="1">
        <v>4</v>
      </c>
      <c r="F19" s="2">
        <v>41</v>
      </c>
      <c r="G19" s="1" t="s">
        <v>1</v>
      </c>
      <c r="H19" s="2">
        <v>23</v>
      </c>
      <c r="I19" s="2">
        <v>51</v>
      </c>
      <c r="J19" s="2">
        <v>25</v>
      </c>
      <c r="K19" s="1">
        <v>69</v>
      </c>
    </row>
    <row r="20" spans="1:11">
      <c r="A20" s="2" t="s">
        <v>2</v>
      </c>
      <c r="B20">
        <v>70.576</v>
      </c>
      <c r="C20">
        <v>69.8206666666667</v>
      </c>
      <c r="D20">
        <v>68.1346666666667</v>
      </c>
      <c r="E20">
        <v>69.6766666666667</v>
      </c>
      <c r="F20">
        <v>65.1733333333333</v>
      </c>
      <c r="G20">
        <v>61.5446666666667</v>
      </c>
      <c r="H20">
        <v>50.4353333333333</v>
      </c>
      <c r="I20">
        <v>43.4353333333333</v>
      </c>
      <c r="J20">
        <v>37.1</v>
      </c>
      <c r="K20">
        <v>32.25</v>
      </c>
    </row>
    <row r="21" spans="1:11">
      <c r="A21" t="s">
        <v>3</v>
      </c>
      <c r="B21">
        <v>7.08</v>
      </c>
      <c r="C21">
        <v>6.974</v>
      </c>
      <c r="D21">
        <v>8.84</v>
      </c>
      <c r="E21">
        <v>7.81666666666667</v>
      </c>
      <c r="F21">
        <v>9.92666666666667</v>
      </c>
      <c r="G21">
        <v>10.0626666666667</v>
      </c>
      <c r="H21">
        <v>11.6313333333333</v>
      </c>
      <c r="I21">
        <v>12.09</v>
      </c>
      <c r="J21">
        <v>10.8626666666667</v>
      </c>
      <c r="K21">
        <v>7.45466666666667</v>
      </c>
    </row>
    <row r="22" spans="1:11">
      <c r="A22" t="s">
        <v>4</v>
      </c>
      <c r="B22">
        <v>12.6833333333333</v>
      </c>
      <c r="C22">
        <v>12.4493333333333</v>
      </c>
      <c r="D22">
        <v>13.8306666666667</v>
      </c>
      <c r="E22">
        <v>15.4019047619048</v>
      </c>
      <c r="F22">
        <v>17.9213333333333</v>
      </c>
      <c r="G22">
        <v>17.7753333333333</v>
      </c>
      <c r="H22">
        <v>22.178</v>
      </c>
      <c r="I22">
        <v>18.2493333333333</v>
      </c>
      <c r="J22">
        <v>13.678</v>
      </c>
      <c r="K22">
        <v>8.51266666666667</v>
      </c>
    </row>
    <row r="23" spans="1:11">
      <c r="A23" s="2" t="s">
        <v>5</v>
      </c>
      <c r="B23">
        <f>SQRT(B21^2+B22^2)</f>
        <v>14.5256099508573</v>
      </c>
      <c r="C23">
        <f t="shared" ref="C23:K23" si="2">SQRT(C21^2+C22^2)</f>
        <v>14.2696382730763</v>
      </c>
      <c r="D23">
        <f t="shared" si="2"/>
        <v>16.4144125829847</v>
      </c>
      <c r="E23">
        <f t="shared" si="2"/>
        <v>17.2719121139659</v>
      </c>
      <c r="F23">
        <f t="shared" si="2"/>
        <v>20.4868958008663</v>
      </c>
      <c r="G23">
        <f t="shared" si="2"/>
        <v>20.4259573963023</v>
      </c>
      <c r="H23">
        <f t="shared" si="2"/>
        <v>25.0429950108031</v>
      </c>
      <c r="I23">
        <f t="shared" si="2"/>
        <v>21.890780413478</v>
      </c>
      <c r="J23">
        <f t="shared" si="2"/>
        <v>17.4666886132178</v>
      </c>
      <c r="K23">
        <f t="shared" si="2"/>
        <v>11.3153678194254</v>
      </c>
    </row>
    <row r="24" spans="1:11">
      <c r="A24" t="s">
        <v>6</v>
      </c>
      <c r="B24">
        <f>DEGREES(ATAN2(B21,B22))</f>
        <v>60.8291826214034</v>
      </c>
      <c r="C24">
        <f>DEGREES(ATAN2(C21,C22))</f>
        <v>60.7428591500292</v>
      </c>
      <c r="D24">
        <f t="shared" ref="D24:K24" si="3">DEGREES(ATAN2(D21,D22))</f>
        <v>57.4149394891223</v>
      </c>
      <c r="E24">
        <f t="shared" si="3"/>
        <v>63.0916148457604</v>
      </c>
      <c r="F24">
        <f t="shared" si="3"/>
        <v>61.0178332234335</v>
      </c>
      <c r="G24">
        <f t="shared" si="3"/>
        <v>60.4856765085402</v>
      </c>
      <c r="H24">
        <f t="shared" si="3"/>
        <v>62.3250719088938</v>
      </c>
      <c r="I24">
        <f t="shared" si="3"/>
        <v>56.4759267759065</v>
      </c>
      <c r="J24">
        <f t="shared" si="3"/>
        <v>51.5444271226147</v>
      </c>
      <c r="K24">
        <f t="shared" si="3"/>
        <v>48.7908930773583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金山软件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南城小漫</cp:lastModifiedBy>
  <dcterms:created xsi:type="dcterms:W3CDTF">2024-09-13T07:27:00Z</dcterms:created>
  <dcterms:modified xsi:type="dcterms:W3CDTF">2025-07-31T03:32:12Z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7CA0CDFB8751467D8E5B2930B0C7E670_13</vt:lpwstr>
  </property>
  <property fmtid="{D5CDD505-2E9C-101B-9397-08002B2CF9AE}" pid="3" name="KSOProductBuildVer">
    <vt:lpwstr>2052-12.1.0.21915</vt:lpwstr>
  </property>
</Properties>
</file>