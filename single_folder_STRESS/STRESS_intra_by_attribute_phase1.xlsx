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VIVOSkin_phase2\analyze\single_folder_STRESS\"/>
    </mc:Choice>
  </mc:AlternateContent>
  <bookViews>
    <workbookView windowWidth="18352" windowHeight="7605"/>
  </bookViews>
  <sheets>
    <sheet name="f09i" sheetId="1" r:id="rId1"/>
    <sheet name="f09r" sheetId="2" r:id="rId2"/>
    <sheet name="f10i" sheetId="3" r:id="rId3"/>
    <sheet name="f10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<sst xmlns="http://schemas.openxmlformats.org/spreadsheetml/2006/main" count="76" uniqueCount="21">
  <si>
    <t>Observer</t>
  </si>
  <si>
    <t>Preference</t>
  </si>
  <si>
    <t>Feminine</t>
  </si>
  <si>
    <t>Youth</t>
  </si>
  <si>
    <t>Healthy</t>
  </si>
  <si>
    <t>Harmony</t>
  </si>
  <si>
    <t>obs01</t>
  </si>
  <si>
    <t>obs02</t>
  </si>
  <si>
    <t>obs04</t>
  </si>
  <si>
    <t>obs05</t>
  </si>
  <si>
    <t>obs06</t>
  </si>
  <si>
    <t>obs07</t>
  </si>
  <si>
    <t>obs08</t>
  </si>
  <si>
    <t>obs09</t>
  </si>
  <si>
    <t>obs10</t>
  </si>
  <si>
    <t>obs12</t>
  </si>
  <si>
    <t>obs13</t>
  </si>
  <si>
    <t>obs14</t>
  </si>
  <si>
    <t>obs15</t>
  </si>
  <si>
    <t>obs03</t>
  </si>
  <si>
    <t>obs11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</si>
</sst>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G1" sqref="G1:G15"/>
    </sheetView>
  </sheetViews>
  <sheetFormatPr defaultColWidth="9" defaultRowHeight="14.25" outlineLevelCol="6"/>
  <cols>
    <col min="1" max="1" width="8.39823008849558" customWidth="1"/>
    <col min="2" max="6" width="12.796460176991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t="s">
        <v>6</v>
      </c>
      <c r="B2">
        <v>0.334483753779317</v>
      </c>
      <c r="C2">
        <v>0.329024133968841</v>
      </c>
      <c r="D2">
        <v>0.270848801657075</v>
      </c>
      <c r="E2">
        <v>0.288541457748287</v>
      </c>
      <c r="F2">
        <v>0.285283710185063</v>
      </c>
      <c r="G2">
        <f t="shared" ref="G2:G14" si="0">AVERAGE(B2:F2)</f>
        <v>0.301636371467716</v>
      </c>
    </row>
    <row r="3" spans="1:7">
      <c r="A3" t="s">
        <v>7</v>
      </c>
      <c r="B3">
        <v>0.272832247488725</v>
      </c>
      <c r="C3">
        <v>0.273988698031058</v>
      </c>
      <c r="D3">
        <v>0.200177223676659</v>
      </c>
      <c r="E3">
        <v>0.205368557302964</v>
      </c>
      <c r="F3">
        <v>0.179951391232704</v>
      </c>
      <c r="G3">
        <f t="shared" si="0"/>
        <v>0.226463623546422</v>
      </c>
    </row>
    <row r="4" spans="1:7">
      <c r="A4" t="s">
        <v>8</v>
      </c>
      <c r="B4">
        <v>0.179859372332897</v>
      </c>
      <c r="C4">
        <v>0.142051607549966</v>
      </c>
      <c r="D4">
        <v>0.126827354108285</v>
      </c>
      <c r="E4">
        <v>0.152821634296901</v>
      </c>
      <c r="F4">
        <v>0.145892376033662</v>
      </c>
      <c r="G4">
        <f t="shared" si="0"/>
        <v>0.149490468864342</v>
      </c>
    </row>
    <row r="5" spans="1:7">
      <c r="A5" t="s">
        <v>9</v>
      </c>
      <c r="B5">
        <v>0.286605145650698</v>
      </c>
      <c r="C5">
        <v>0.246535173398114</v>
      </c>
      <c r="D5">
        <v>0.227258940333801</v>
      </c>
      <c r="E5">
        <v>0.296219354775363</v>
      </c>
      <c r="F5">
        <v>0.297679457829132</v>
      </c>
      <c r="G5">
        <f t="shared" si="0"/>
        <v>0.270859614397422</v>
      </c>
    </row>
    <row r="6" spans="1:7">
      <c r="A6" t="s">
        <v>10</v>
      </c>
      <c r="B6">
        <v>0.239147450347594</v>
      </c>
      <c r="C6">
        <v>0.22312277496527</v>
      </c>
      <c r="D6">
        <v>0.213703401201234</v>
      </c>
      <c r="E6">
        <v>0.233488248227844</v>
      </c>
      <c r="F6">
        <v>0.286887702852923</v>
      </c>
      <c r="G6">
        <f t="shared" si="0"/>
        <v>0.239269915518973</v>
      </c>
    </row>
    <row r="7" spans="1:7">
      <c r="A7" t="s">
        <v>11</v>
      </c>
      <c r="B7">
        <v>0.273839657101544</v>
      </c>
      <c r="C7">
        <v>0.190595948343143</v>
      </c>
      <c r="D7">
        <v>0.222562813115842</v>
      </c>
      <c r="E7">
        <v>0.209041211138577</v>
      </c>
      <c r="F7">
        <v>0.213481260858761</v>
      </c>
      <c r="G7">
        <f t="shared" si="0"/>
        <v>0.221904178111574</v>
      </c>
    </row>
    <row r="8" spans="1:7">
      <c r="A8" t="s">
        <v>12</v>
      </c>
      <c r="B8">
        <v>0.322520826380267</v>
      </c>
      <c r="C8">
        <v>0.340242068175437</v>
      </c>
      <c r="D8">
        <v>0.298375334601589</v>
      </c>
      <c r="E8">
        <v>0.236322621415886</v>
      </c>
      <c r="F8">
        <v>0.277314151148206</v>
      </c>
      <c r="G8">
        <f t="shared" si="0"/>
        <v>0.294955000344277</v>
      </c>
    </row>
    <row r="9" spans="1:7">
      <c r="A9" t="s">
        <v>13</v>
      </c>
      <c r="B9">
        <v>0.297898873386058</v>
      </c>
      <c r="C9">
        <v>0.276965867004561</v>
      </c>
      <c r="D9">
        <v>0.278243972726422</v>
      </c>
      <c r="E9">
        <v>0.23674298208147</v>
      </c>
      <c r="F9">
        <v>0.280104159192258</v>
      </c>
      <c r="G9">
        <f t="shared" si="0"/>
        <v>0.273991170878154</v>
      </c>
    </row>
    <row r="10" spans="1:7">
      <c r="A10" t="s">
        <v>14</v>
      </c>
      <c r="B10">
        <v>0.157439700033164</v>
      </c>
      <c r="C10">
        <v>0.211987784818193</v>
      </c>
      <c r="D10">
        <v>0.166273440024201</v>
      </c>
      <c r="E10">
        <v>0.177233057964042</v>
      </c>
      <c r="F10">
        <v>0.193814685012753</v>
      </c>
      <c r="G10">
        <f t="shared" si="0"/>
        <v>0.181349733570471</v>
      </c>
    </row>
    <row r="11" spans="1:7">
      <c r="A11" t="s">
        <v>15</v>
      </c>
      <c r="B11">
        <v>0.30061773540018</v>
      </c>
      <c r="C11">
        <v>0.304043704903444</v>
      </c>
      <c r="D11">
        <v>0.267356528941935</v>
      </c>
      <c r="E11">
        <v>0.276822345524626</v>
      </c>
      <c r="F11">
        <v>0.253712794093482</v>
      </c>
      <c r="G11">
        <f t="shared" si="0"/>
        <v>0.280510621772733</v>
      </c>
    </row>
    <row r="12" spans="1:7">
      <c r="A12" t="s">
        <v>16</v>
      </c>
      <c r="B12">
        <v>0.168850938853904</v>
      </c>
      <c r="C12">
        <v>0.148758860140258</v>
      </c>
      <c r="D12">
        <v>0.182561053287912</v>
      </c>
      <c r="E12">
        <v>0.165145097826386</v>
      </c>
      <c r="F12">
        <v>0.139516681896493</v>
      </c>
      <c r="G12">
        <f t="shared" si="0"/>
        <v>0.16096652640099</v>
      </c>
    </row>
    <row r="13" spans="1:7">
      <c r="A13" t="s">
        <v>17</v>
      </c>
      <c r="B13">
        <v>0.221160884162831</v>
      </c>
      <c r="C13">
        <v>0.179548267836799</v>
      </c>
      <c r="D13">
        <v>0.167640097642843</v>
      </c>
      <c r="E13">
        <v>0.134826479893833</v>
      </c>
      <c r="F13">
        <v>0.174028210310424</v>
      </c>
      <c r="G13">
        <f t="shared" si="0"/>
        <v>0.175440787969346</v>
      </c>
    </row>
    <row r="14" spans="1:7">
      <c r="A14" t="s">
        <v>18</v>
      </c>
      <c r="B14">
        <v>0.221160884162831</v>
      </c>
      <c r="C14">
        <v>0.179548267836799</v>
      </c>
      <c r="D14">
        <v>0.167640097642843</v>
      </c>
      <c r="E14">
        <v>0.134826479893833</v>
      </c>
      <c r="F14">
        <v>0.174028210310424</v>
      </c>
      <c r="G14">
        <f t="shared" si="0"/>
        <v>0.175440787969346</v>
      </c>
    </row>
    <row r="15" spans="1:7">
      <c r="G15">
        <f>AVERAGE(G2:G14)</f>
        <v>0.227098369293213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G1" sqref="G1:G15"/>
    </sheetView>
  </sheetViews>
  <sheetFormatPr defaultColWidth="9" defaultRowHeight="14.25" outlineLevelCol="6"/>
  <cols>
    <col min="1" max="1" width="8.39823008849558" customWidth="1"/>
    <col min="2" max="6" width="12.796460176991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t="s">
        <v>7</v>
      </c>
      <c r="B2">
        <v>0.281351616407112</v>
      </c>
      <c r="C2">
        <v>0.219393102292058</v>
      </c>
      <c r="D2">
        <v>0.221759170736981</v>
      </c>
      <c r="E2">
        <v>0.264585236680455</v>
      </c>
      <c r="F2">
        <v>0.257412426324714</v>
      </c>
      <c r="G2">
        <f t="shared" ref="G2:G14" si="0">AVERAGE(B2:F2)</f>
        <v>0.248900310488264</v>
      </c>
    </row>
    <row r="3" spans="1:7">
      <c r="A3" t="s">
        <v>19</v>
      </c>
      <c r="B3">
        <v>0.193796966947127</v>
      </c>
      <c r="C3">
        <v>0.286184288229555</v>
      </c>
      <c r="D3">
        <v>0.196563991704823</v>
      </c>
      <c r="E3">
        <v>0.252665313700522</v>
      </c>
      <c r="F3">
        <v>0.20203290989489</v>
      </c>
      <c r="G3">
        <f t="shared" si="0"/>
        <v>0.226248694095383</v>
      </c>
    </row>
    <row r="4" spans="1:7">
      <c r="A4" t="s">
        <v>8</v>
      </c>
      <c r="B4">
        <v>0.187534802123283</v>
      </c>
      <c r="C4">
        <v>0.146208918518879</v>
      </c>
      <c r="D4">
        <v>0.128472424241578</v>
      </c>
      <c r="E4">
        <v>0.146421034050774</v>
      </c>
      <c r="F4">
        <v>0.111078081528363</v>
      </c>
      <c r="G4">
        <f t="shared" si="0"/>
        <v>0.143943052092575</v>
      </c>
    </row>
    <row r="5" spans="1:7">
      <c r="A5" t="s">
        <v>9</v>
      </c>
      <c r="B5">
        <v>0.263248326265836</v>
      </c>
      <c r="C5">
        <v>0.244345356542868</v>
      </c>
      <c r="D5">
        <v>0.229735591841954</v>
      </c>
      <c r="E5">
        <v>0.251034716435016</v>
      </c>
      <c r="F5">
        <v>0.225257533611167</v>
      </c>
      <c r="G5">
        <f t="shared" si="0"/>
        <v>0.242724304939368</v>
      </c>
    </row>
    <row r="6" spans="1:7">
      <c r="A6" t="s">
        <v>10</v>
      </c>
      <c r="B6">
        <v>0.243202207969373</v>
      </c>
      <c r="C6">
        <v>0.237335263797121</v>
      </c>
      <c r="D6">
        <v>0.160651694931362</v>
      </c>
      <c r="E6">
        <v>0.194091845912413</v>
      </c>
      <c r="F6">
        <v>0.201789902264202</v>
      </c>
      <c r="G6">
        <f t="shared" si="0"/>
        <v>0.207414182974894</v>
      </c>
    </row>
    <row r="7" spans="1:7">
      <c r="A7" t="s">
        <v>11</v>
      </c>
      <c r="B7">
        <v>0.247426410390117</v>
      </c>
      <c r="C7">
        <v>0.256172205602702</v>
      </c>
      <c r="D7">
        <v>0.252022546366028</v>
      </c>
      <c r="E7">
        <v>0.250099432902741</v>
      </c>
      <c r="F7">
        <v>0.199974710090453</v>
      </c>
      <c r="G7">
        <f t="shared" si="0"/>
        <v>0.241139061070408</v>
      </c>
    </row>
    <row r="8" spans="1:7">
      <c r="A8" t="s">
        <v>13</v>
      </c>
      <c r="B8">
        <v>0.254659205820786</v>
      </c>
      <c r="C8">
        <v>0.29207722542701</v>
      </c>
      <c r="D8">
        <v>0.197255193074237</v>
      </c>
      <c r="E8">
        <v>0.20497538209628</v>
      </c>
      <c r="F8">
        <v>0.272255375295377</v>
      </c>
      <c r="G8">
        <f t="shared" si="0"/>
        <v>0.244244476342738</v>
      </c>
    </row>
    <row r="9" spans="1:7">
      <c r="A9" t="s">
        <v>14</v>
      </c>
      <c r="B9">
        <v>0.184278754150388</v>
      </c>
      <c r="C9">
        <v>0.152537970073387</v>
      </c>
      <c r="D9">
        <v>0.14349612680329</v>
      </c>
      <c r="E9">
        <v>0.173952149338116</v>
      </c>
      <c r="F9">
        <v>0.178165217217526</v>
      </c>
      <c r="G9">
        <f t="shared" si="0"/>
        <v>0.166486043516542</v>
      </c>
    </row>
    <row r="10" spans="1:7">
      <c r="A10" t="s">
        <v>20</v>
      </c>
      <c r="B10">
        <v>0.284923411587863</v>
      </c>
      <c r="C10">
        <v>0.248617320324341</v>
      </c>
      <c r="D10">
        <v>0.269981689090043</v>
      </c>
      <c r="E10">
        <v>0.25586670332918</v>
      </c>
      <c r="F10">
        <v>0.268627975802881</v>
      </c>
      <c r="G10">
        <f t="shared" si="0"/>
        <v>0.265603420026862</v>
      </c>
    </row>
    <row r="11" spans="1:7">
      <c r="A11" t="s">
        <v>15</v>
      </c>
      <c r="B11">
        <v>0.245583108654019</v>
      </c>
      <c r="C11">
        <v>0.241512370730077</v>
      </c>
      <c r="D11">
        <v>0.284243271149086</v>
      </c>
      <c r="E11">
        <v>0.246441317710443</v>
      </c>
      <c r="F11">
        <v>0.251482723126066</v>
      </c>
      <c r="G11">
        <f t="shared" si="0"/>
        <v>0.253852558273938</v>
      </c>
    </row>
    <row r="12" spans="1:7">
      <c r="A12" t="s">
        <v>16</v>
      </c>
      <c r="B12">
        <v>0.180451856489589</v>
      </c>
      <c r="C12">
        <v>0.181612645422299</v>
      </c>
      <c r="D12">
        <v>0.216567688767396</v>
      </c>
      <c r="E12">
        <v>0.158380230839148</v>
      </c>
      <c r="F12">
        <v>0.204719791817121</v>
      </c>
      <c r="G12">
        <f t="shared" si="0"/>
        <v>0.188346442667111</v>
      </c>
    </row>
    <row r="13" spans="1:7">
      <c r="A13" t="s">
        <v>17</v>
      </c>
      <c r="B13">
        <v>0.102773675292061</v>
      </c>
      <c r="C13">
        <v>0.128473284131159</v>
      </c>
      <c r="D13">
        <v>0.101748767853967</v>
      </c>
      <c r="E13">
        <v>0.112434383237103</v>
      </c>
      <c r="F13">
        <v>0.0783191706016383</v>
      </c>
      <c r="G13">
        <f t="shared" si="0"/>
        <v>0.104749856223186</v>
      </c>
    </row>
    <row r="14" spans="1:7">
      <c r="A14" t="s">
        <v>18</v>
      </c>
      <c r="B14">
        <v>0.102576177640487</v>
      </c>
      <c r="C14">
        <v>0.0871113227256996</v>
      </c>
      <c r="D14">
        <v>0.116392210615284</v>
      </c>
      <c r="E14">
        <v>0.091263016141977</v>
      </c>
      <c r="F14">
        <v>0.117644006344282</v>
      </c>
      <c r="G14">
        <f t="shared" si="0"/>
        <v>0.102997346693546</v>
      </c>
    </row>
    <row r="15" spans="1:7">
      <c r="G15">
        <f>AVERAGE(G2:G14)</f>
        <v>0.202819211492678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G1" sqref="G1:G15"/>
    </sheetView>
  </sheetViews>
  <sheetFormatPr defaultColWidth="9" defaultRowHeight="14.25" outlineLevelCol="6"/>
  <cols>
    <col min="1" max="1" width="8.39823008849558" customWidth="1"/>
    <col min="2" max="6" width="12.796460176991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t="s">
        <v>7</v>
      </c>
      <c r="B2">
        <v>0.202441095639021</v>
      </c>
      <c r="C2">
        <v>0.201268976865177</v>
      </c>
      <c r="D2">
        <v>0.294135519717651</v>
      </c>
      <c r="E2">
        <v>0.23856712409467</v>
      </c>
      <c r="F2">
        <v>0.267143054447073</v>
      </c>
      <c r="G2">
        <f t="shared" ref="G2:G14" si="0">AVERAGE(B2:F2)</f>
        <v>0.240711154152718</v>
      </c>
    </row>
    <row r="3" spans="1:7">
      <c r="A3" t="s">
        <v>19</v>
      </c>
      <c r="B3">
        <v>0.305257027711016</v>
      </c>
      <c r="C3">
        <v>0.281916284196725</v>
      </c>
      <c r="D3">
        <v>0.202004535035989</v>
      </c>
      <c r="E3">
        <v>0.213703353497895</v>
      </c>
      <c r="F3">
        <v>0.22534933884049</v>
      </c>
      <c r="G3">
        <f t="shared" si="0"/>
        <v>0.245646107856423</v>
      </c>
    </row>
    <row r="4" spans="1:7">
      <c r="A4" t="s">
        <v>8</v>
      </c>
      <c r="B4">
        <v>0.224674139365263</v>
      </c>
      <c r="C4">
        <v>0.20243170026498</v>
      </c>
      <c r="D4">
        <v>0.267578654425608</v>
      </c>
      <c r="E4">
        <v>0.265579433956235</v>
      </c>
      <c r="F4">
        <v>0.253801169005938</v>
      </c>
      <c r="G4">
        <f t="shared" si="0"/>
        <v>0.242813019403605</v>
      </c>
    </row>
    <row r="5" spans="1:7">
      <c r="A5" t="s">
        <v>9</v>
      </c>
      <c r="B5">
        <v>0.206346641204646</v>
      </c>
      <c r="C5">
        <v>0.148458600768781</v>
      </c>
      <c r="D5">
        <v>0.128517156252385</v>
      </c>
      <c r="E5">
        <v>0.11563395747449</v>
      </c>
      <c r="F5">
        <v>0.126554997660488</v>
      </c>
      <c r="G5">
        <f t="shared" si="0"/>
        <v>0.145102270672158</v>
      </c>
    </row>
    <row r="6" spans="1:7">
      <c r="A6" t="s">
        <v>10</v>
      </c>
      <c r="B6">
        <v>0.328463995570692</v>
      </c>
      <c r="C6">
        <v>0.236970426653007</v>
      </c>
      <c r="D6">
        <v>0.2285401943326</v>
      </c>
      <c r="E6">
        <v>0.187147062978204</v>
      </c>
      <c r="F6">
        <v>0.218768231589304</v>
      </c>
      <c r="G6">
        <f t="shared" si="0"/>
        <v>0.239977982224761</v>
      </c>
    </row>
    <row r="7" spans="1:7">
      <c r="A7" t="s">
        <v>11</v>
      </c>
      <c r="B7">
        <v>0.309588546840426</v>
      </c>
      <c r="C7">
        <v>0.286071780946639</v>
      </c>
      <c r="D7">
        <v>0.26665722360802</v>
      </c>
      <c r="E7">
        <v>0.328118286367811</v>
      </c>
      <c r="F7">
        <v>0.18630766231997</v>
      </c>
      <c r="G7">
        <f t="shared" si="0"/>
        <v>0.275348700016573</v>
      </c>
    </row>
    <row r="8" spans="1:7">
      <c r="A8" t="s">
        <v>13</v>
      </c>
      <c r="B8">
        <v>0.198910073629529</v>
      </c>
      <c r="C8">
        <v>0.274905428716965</v>
      </c>
      <c r="D8">
        <v>0.221341661012498</v>
      </c>
      <c r="E8">
        <v>0.189215142828116</v>
      </c>
      <c r="F8">
        <v>0.272870727179791</v>
      </c>
      <c r="G8">
        <f t="shared" si="0"/>
        <v>0.23144860667338</v>
      </c>
    </row>
    <row r="9" spans="1:7">
      <c r="A9" t="s">
        <v>14</v>
      </c>
      <c r="B9">
        <v>0.20387754096035</v>
      </c>
      <c r="C9">
        <v>0.207988299915421</v>
      </c>
      <c r="D9">
        <v>0.221320576282931</v>
      </c>
      <c r="E9">
        <v>0.186698139477574</v>
      </c>
      <c r="F9">
        <v>0.162616613073949</v>
      </c>
      <c r="G9">
        <f t="shared" si="0"/>
        <v>0.196500233942045</v>
      </c>
    </row>
    <row r="10" spans="1:7">
      <c r="A10" t="s">
        <v>20</v>
      </c>
      <c r="B10">
        <v>0.265419486524237</v>
      </c>
      <c r="C10">
        <v>0.194505472326842</v>
      </c>
      <c r="D10">
        <v>0.209315654817659</v>
      </c>
      <c r="E10">
        <v>0.178655232280169</v>
      </c>
      <c r="F10">
        <v>0.200725915613972</v>
      </c>
      <c r="G10">
        <f t="shared" si="0"/>
        <v>0.209724352312576</v>
      </c>
    </row>
    <row r="11" spans="1:7">
      <c r="A11" t="s">
        <v>15</v>
      </c>
      <c r="B11">
        <v>0.200226875834099</v>
      </c>
      <c r="C11">
        <v>0.164439989352633</v>
      </c>
      <c r="D11">
        <v>0.247403528066524</v>
      </c>
      <c r="E11">
        <v>0.147991787078583</v>
      </c>
      <c r="F11">
        <v>0.198482054499591</v>
      </c>
      <c r="G11">
        <f t="shared" si="0"/>
        <v>0.191708846966286</v>
      </c>
    </row>
    <row r="12" spans="1:7">
      <c r="A12" t="s">
        <v>16</v>
      </c>
      <c r="B12">
        <v>0.212409600899672</v>
      </c>
      <c r="C12">
        <v>0.133794392537801</v>
      </c>
      <c r="D12">
        <v>0.187196537530034</v>
      </c>
      <c r="E12">
        <v>0.154731459332455</v>
      </c>
      <c r="F12">
        <v>0.180511693286978</v>
      </c>
      <c r="G12">
        <f t="shared" si="0"/>
        <v>0.173728736717388</v>
      </c>
    </row>
    <row r="13" spans="1:7">
      <c r="A13" t="s">
        <v>17</v>
      </c>
      <c r="B13">
        <v>0.253319874157862</v>
      </c>
      <c r="C13">
        <v>0.24297235965761</v>
      </c>
      <c r="D13">
        <v>0.243906841817127</v>
      </c>
      <c r="E13">
        <v>0.265497233165633</v>
      </c>
      <c r="F13">
        <v>0.224999444920101</v>
      </c>
      <c r="G13">
        <f t="shared" si="0"/>
        <v>0.246139150743667</v>
      </c>
    </row>
    <row r="14" spans="1:7">
      <c r="A14" t="s">
        <v>18</v>
      </c>
      <c r="B14">
        <v>0.121969351586232</v>
      </c>
      <c r="C14">
        <v>0.120598620613815</v>
      </c>
      <c r="D14">
        <v>0.122302651246979</v>
      </c>
      <c r="E14">
        <v>0.10910800148308</v>
      </c>
      <c r="F14">
        <v>0.160268488779797</v>
      </c>
      <c r="G14">
        <f t="shared" si="0"/>
        <v>0.126849422741981</v>
      </c>
    </row>
    <row r="15" spans="1:7">
      <c r="G15">
        <f>AVERAGE(G2:G14)</f>
        <v>0.212746044955659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G1" sqref="G1:G15"/>
    </sheetView>
  </sheetViews>
  <sheetFormatPr defaultColWidth="9" defaultRowHeight="14.25" outlineLevelCol="6"/>
  <cols>
    <col min="1" max="1" width="8.39823008849558" customWidth="1"/>
    <col min="2" max="6" width="12.7964601769912" customWidth="1"/>
    <col min="7" max="7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t="s">
        <v>7</v>
      </c>
      <c r="B2">
        <v>0.197171079827214</v>
      </c>
      <c r="C2">
        <v>0.203152631298142</v>
      </c>
      <c r="D2">
        <v>0.16890028251585</v>
      </c>
      <c r="E2">
        <v>0.22743475549185</v>
      </c>
      <c r="F2">
        <v>0.189390099621887</v>
      </c>
      <c r="G2">
        <f>AVERAGE(B2:F2)</f>
        <v>0.197209769750989</v>
      </c>
    </row>
    <row r="3" spans="1:7">
      <c r="A3" t="s">
        <v>19</v>
      </c>
      <c r="B3">
        <v>0.316457946502517</v>
      </c>
      <c r="C3">
        <v>0.288045466426416</v>
      </c>
      <c r="D3">
        <v>0.235934939589643</v>
      </c>
      <c r="E3">
        <v>0.214365001971467</v>
      </c>
      <c r="F3">
        <v>0.233534864290073</v>
      </c>
      <c r="G3">
        <f t="shared" ref="G3:G14" si="0">AVERAGE(B3:F3)</f>
        <v>0.257667643756023</v>
      </c>
    </row>
    <row r="4" spans="1:7">
      <c r="A4" t="s">
        <v>8</v>
      </c>
      <c r="B4">
        <v>0.292241406619492</v>
      </c>
      <c r="C4">
        <v>0.187032231445845</v>
      </c>
      <c r="D4">
        <v>0.222443504051728</v>
      </c>
      <c r="E4">
        <v>0.208614110172767</v>
      </c>
      <c r="F4">
        <v>0.153986660470255</v>
      </c>
      <c r="G4">
        <f t="shared" si="0"/>
        <v>0.212863582552017</v>
      </c>
    </row>
    <row r="5" spans="1:7">
      <c r="A5" t="s">
        <v>9</v>
      </c>
      <c r="B5">
        <v>0.219523741849221</v>
      </c>
      <c r="C5">
        <v>0.185238274685039</v>
      </c>
      <c r="D5">
        <v>0.152423218666864</v>
      </c>
      <c r="E5">
        <v>0.172326764228387</v>
      </c>
      <c r="F5">
        <v>0.160069633726446</v>
      </c>
      <c r="G5">
        <f t="shared" si="0"/>
        <v>0.177916326631191</v>
      </c>
    </row>
    <row r="6" spans="1:7">
      <c r="A6" t="s">
        <v>10</v>
      </c>
      <c r="B6">
        <v>0.265722788979587</v>
      </c>
      <c r="C6">
        <v>0.238381351005718</v>
      </c>
      <c r="D6">
        <v>0.223052212075505</v>
      </c>
      <c r="E6">
        <v>0.238875755481132</v>
      </c>
      <c r="F6">
        <v>0.264756698716382</v>
      </c>
      <c r="G6">
        <f t="shared" si="0"/>
        <v>0.246157761251665</v>
      </c>
    </row>
    <row r="7" spans="1:7">
      <c r="A7" t="s">
        <v>11</v>
      </c>
      <c r="B7">
        <v>0.188493251944462</v>
      </c>
      <c r="C7">
        <v>0.222524129305568</v>
      </c>
      <c r="D7">
        <v>0.212057375731051</v>
      </c>
      <c r="E7">
        <v>0.22304766472482</v>
      </c>
      <c r="F7">
        <v>0.231721643709982</v>
      </c>
      <c r="G7">
        <f t="shared" si="0"/>
        <v>0.215568813083176</v>
      </c>
    </row>
    <row r="8" spans="1:7">
      <c r="A8" t="s">
        <v>13</v>
      </c>
      <c r="B8">
        <v>0.263449949898155</v>
      </c>
      <c r="C8">
        <v>0.261341423298466</v>
      </c>
      <c r="D8">
        <v>0.21553256911979</v>
      </c>
      <c r="E8">
        <v>0.225064604921353</v>
      </c>
      <c r="F8">
        <v>0.257266075137314</v>
      </c>
      <c r="G8">
        <f t="shared" si="0"/>
        <v>0.244530924475016</v>
      </c>
    </row>
    <row r="9" spans="1:7">
      <c r="A9" t="s">
        <v>14</v>
      </c>
      <c r="B9">
        <v>0.203147118134406</v>
      </c>
      <c r="C9">
        <v>0.190667372135572</v>
      </c>
      <c r="D9">
        <v>0.188590475593513</v>
      </c>
      <c r="E9">
        <v>0.156728458701136</v>
      </c>
      <c r="F9">
        <v>0.165232540701807</v>
      </c>
      <c r="G9">
        <f t="shared" si="0"/>
        <v>0.180873193053287</v>
      </c>
    </row>
    <row r="10" spans="1:7">
      <c r="A10" t="s">
        <v>20</v>
      </c>
      <c r="B10">
        <v>0.239209569157857</v>
      </c>
      <c r="C10">
        <v>0.119401332969156</v>
      </c>
      <c r="D10">
        <v>0.147356829746975</v>
      </c>
      <c r="E10">
        <v>0.177933820294125</v>
      </c>
      <c r="F10">
        <v>0.17718511984526</v>
      </c>
      <c r="G10">
        <f t="shared" si="0"/>
        <v>0.172217334402675</v>
      </c>
    </row>
    <row r="11" spans="1:7">
      <c r="A11" t="s">
        <v>15</v>
      </c>
      <c r="B11">
        <v>0.257087027765549</v>
      </c>
      <c r="C11">
        <v>0.232046083017413</v>
      </c>
      <c r="D11">
        <v>0.268974770571199</v>
      </c>
      <c r="E11">
        <v>0.238185226031759</v>
      </c>
      <c r="F11">
        <v>0.153215187136453</v>
      </c>
      <c r="G11">
        <f t="shared" si="0"/>
        <v>0.229901658904475</v>
      </c>
    </row>
    <row r="12" spans="1:7">
      <c r="A12" t="s">
        <v>16</v>
      </c>
      <c r="B12">
        <v>0.193860837353232</v>
      </c>
      <c r="C12">
        <v>0.166322506737903</v>
      </c>
      <c r="D12">
        <v>0.199653047383381</v>
      </c>
      <c r="E12">
        <v>0.185835636305124</v>
      </c>
      <c r="F12">
        <v>0.188302346621309</v>
      </c>
      <c r="G12">
        <f t="shared" si="0"/>
        <v>0.18679487488019</v>
      </c>
    </row>
    <row r="13" spans="1:7">
      <c r="A13" t="s">
        <v>17</v>
      </c>
      <c r="B13">
        <v>0.225067108596004</v>
      </c>
      <c r="C13">
        <v>0.278389255361225</v>
      </c>
      <c r="D13">
        <v>0.27142201010146</v>
      </c>
      <c r="E13">
        <v>0.231929012446314</v>
      </c>
      <c r="F13">
        <v>0.262068728964433</v>
      </c>
      <c r="G13">
        <f t="shared" si="0"/>
        <v>0.253775223093887</v>
      </c>
    </row>
    <row r="14" spans="1:7">
      <c r="A14" t="s">
        <v>18</v>
      </c>
      <c r="B14">
        <v>0.188576327403866</v>
      </c>
      <c r="C14">
        <v>0.139531584186961</v>
      </c>
      <c r="D14">
        <v>0.133419234216361</v>
      </c>
      <c r="E14">
        <v>0.157012030678474</v>
      </c>
      <c r="F14">
        <v>0.136487570579203</v>
      </c>
      <c r="G14">
        <f t="shared" si="0"/>
        <v>0.151005349412973</v>
      </c>
    </row>
    <row r="15" spans="1:7">
      <c r="G15">
        <f>AVERAGE(G2:G14)</f>
        <v>0.209729419634428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f09i</vt:lpstr>
      <vt:lpstr>f09r</vt:lpstr>
      <vt:lpstr>f10i</vt:lpstr>
      <vt:lpstr>f10r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南城小漫</cp:lastModifiedBy>
  <dcterms:created xsi:type="dcterms:W3CDTF">2026-09-22T13:59:36Z</dcterms:created>
  <dcterms:modified xsi:type="dcterms:W3CDTF">2026-09-22T14:00:51Z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23B5CC6E333F43C9902D6A3C4E21CAF1_12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0</vt:i4>
  </property>
</Properties>
</file>