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VIVOSkin_phase2\analyze\single_folder_STRESS\"/>
    </mc:Choice>
  </mc:AlternateContent>
  <bookViews>
    <workbookView windowWidth="18352" windowHeight="7605" activeTab="3"/>
  </bookViews>
  <sheets>
    <sheet name="f09i" sheetId="1" r:id="rId1"/>
    <sheet name="f09r" sheetId="2" r:id="rId2"/>
    <sheet name="f10i" sheetId="3" r:id="rId3"/>
    <sheet name="f10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<sst xmlns="http://schemas.openxmlformats.org/spreadsheetml/2006/main" count="48" uniqueCount="12">
  <si>
    <t>Observer</t>
  </si>
  <si>
    <t>Preference</t>
  </si>
  <si>
    <t>Youth</t>
  </si>
  <si>
    <t>Healthy</t>
  </si>
  <si>
    <t>Fidelity</t>
  </si>
  <si>
    <t>Fair</t>
  </si>
  <si>
    <t>Ruddy</t>
  </si>
  <si>
    <t>obs01</t>
  </si>
  <si>
    <t>obs02</t>
  </si>
  <si>
    <t>obs03</t>
  </si>
  <si>
    <t>obs04</t>
  </si>
  <si>
    <t>obs05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</si>
</sst>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3" sqref="H3"/>
    </sheetView>
  </sheetViews>
  <sheetFormatPr defaultColWidth="9" defaultRowHeight="14.25" outlineLevelRow="5" outlineLevelCol="7"/>
  <cols>
    <col min="1" max="1" width="8.39823008849558" customWidth="1"/>
    <col min="2" max="7" width="12.7964601769912" customWidth="1"/>
    <col min="8" max="8" width="12.7964601769912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0.286865555582054</v>
      </c>
      <c r="C2">
        <v>0.247713995788553</v>
      </c>
      <c r="D2">
        <v>0.249555607872856</v>
      </c>
      <c r="E2">
        <v>0.270060967765243</v>
      </c>
      <c r="F2">
        <v>0.28153552172859</v>
      </c>
      <c r="G2">
        <v>0.248277337518865</v>
      </c>
      <c r="H2">
        <f>AVERAGE(B2:G2)</f>
        <v>0.26400149770936</v>
      </c>
    </row>
    <row r="3" spans="1:8">
      <c r="A3" t="s">
        <v>8</v>
      </c>
      <c r="B3">
        <v>0.300975852149801</v>
      </c>
      <c r="C3">
        <v>0.273468085641568</v>
      </c>
      <c r="D3">
        <v>0.202642513050046</v>
      </c>
      <c r="E3">
        <v>0.238210381903291</v>
      </c>
      <c r="F3">
        <v>0.289261435465053</v>
      </c>
      <c r="G3">
        <v>0.227595150940366</v>
      </c>
      <c r="H3">
        <f>AVERAGE(B3:G3)</f>
        <v>0.255358903191687</v>
      </c>
    </row>
    <row r="4" spans="1:8">
      <c r="A4" t="s">
        <v>9</v>
      </c>
      <c r="B4">
        <v>0.289637316211856</v>
      </c>
      <c r="C4">
        <v>0.253814996447584</v>
      </c>
      <c r="D4">
        <v>0.33855772009896</v>
      </c>
      <c r="E4">
        <v>0.357109272675099</v>
      </c>
      <c r="F4">
        <v>0.456484330865235</v>
      </c>
      <c r="G4">
        <v>0.342233152499065</v>
      </c>
      <c r="H4">
        <f>AVERAGE(B4:G4)</f>
        <v>0.339639464799633</v>
      </c>
    </row>
    <row r="5" spans="1:8">
      <c r="A5" t="s">
        <v>10</v>
      </c>
      <c r="B5">
        <v>0.170739538654515</v>
      </c>
      <c r="E5">
        <v>0.256004873058233</v>
      </c>
      <c r="F5">
        <v>0.174936190360684</v>
      </c>
      <c r="G5">
        <v>0.138694758882166</v>
      </c>
      <c r="H5">
        <f>AVERAGE(B5:G5)</f>
        <v>0.185093840238899</v>
      </c>
    </row>
    <row r="6" spans="1:8">
      <c r="A6" t="s">
        <v>11</v>
      </c>
      <c r="B6">
        <v>0.313570470470324</v>
      </c>
      <c r="C6">
        <v>0.278194169168483</v>
      </c>
      <c r="D6">
        <v>0.321390039987074</v>
      </c>
      <c r="E6">
        <v>0.256432428936963</v>
      </c>
      <c r="F6">
        <v>0.355689947960763</v>
      </c>
      <c r="G6">
        <v>0.423820839613027</v>
      </c>
      <c r="H6">
        <f>AVERAGE(B6:G6)</f>
        <v>0.324849649356106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2" sqref="H2:H6"/>
    </sheetView>
  </sheetViews>
  <sheetFormatPr defaultColWidth="9" defaultRowHeight="14.25" outlineLevelRow="5" outlineLevelCol="7"/>
  <cols>
    <col min="1" max="1" width="8.39823008849558" customWidth="1"/>
    <col min="2" max="7" width="12.796460176991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0.294834262418657</v>
      </c>
      <c r="C2">
        <v>0.274353159955199</v>
      </c>
      <c r="D2">
        <v>0.262482351273121</v>
      </c>
      <c r="E2">
        <v>0.315144644325057</v>
      </c>
      <c r="F2">
        <v>0.284273213282991</v>
      </c>
      <c r="G2">
        <v>0.283203722331893</v>
      </c>
      <c r="H2">
        <f t="shared" ref="H2:H6" si="0">AVERAGE(B2:G2)</f>
        <v>0.28571522559782</v>
      </c>
    </row>
    <row r="3" spans="1:8">
      <c r="A3" t="s">
        <v>8</v>
      </c>
      <c r="B3">
        <v>0.322521496967904</v>
      </c>
      <c r="C3">
        <v>0.149785812227166</v>
      </c>
      <c r="D3">
        <v>0.272439793195812</v>
      </c>
      <c r="E3">
        <v>0.290247945571868</v>
      </c>
      <c r="F3">
        <v>0.313838666766102</v>
      </c>
      <c r="G3">
        <v>0.36026906443578</v>
      </c>
      <c r="H3">
        <f t="shared" si="0"/>
        <v>0.284850463194105</v>
      </c>
    </row>
    <row r="4" spans="1:8">
      <c r="A4" t="s">
        <v>9</v>
      </c>
      <c r="B4">
        <v>0.297819357391294</v>
      </c>
      <c r="C4">
        <v>0.343363586134922</v>
      </c>
      <c r="D4">
        <v>0.372638657083362</v>
      </c>
      <c r="E4">
        <v>0.41363418749432</v>
      </c>
      <c r="F4">
        <v>0.359786362734715</v>
      </c>
      <c r="G4">
        <v>0.295751453078481</v>
      </c>
      <c r="H4">
        <f t="shared" si="0"/>
        <v>0.347165600652849</v>
      </c>
    </row>
    <row r="5" spans="1:8">
      <c r="A5" t="s">
        <v>10</v>
      </c>
      <c r="B5">
        <v>0.280774456567027</v>
      </c>
      <c r="C5">
        <v>0.19180494244345</v>
      </c>
      <c r="D5">
        <v>0.253241276208365</v>
      </c>
      <c r="E5">
        <v>0.251573641127179</v>
      </c>
      <c r="F5">
        <v>0.183021204520348</v>
      </c>
      <c r="G5">
        <v>0.227498997165348</v>
      </c>
      <c r="H5">
        <f t="shared" si="0"/>
        <v>0.23131908633862</v>
      </c>
    </row>
    <row r="6" spans="1:8">
      <c r="A6" t="s">
        <v>11</v>
      </c>
      <c r="B6">
        <v>0.379504016841165</v>
      </c>
      <c r="C6">
        <v>0.501894480387147</v>
      </c>
      <c r="D6">
        <v>0.399556294927216</v>
      </c>
      <c r="E6">
        <v>0.382733811487705</v>
      </c>
      <c r="F6">
        <v>0.38405179217747</v>
      </c>
      <c r="G6">
        <v>0.352272502934274</v>
      </c>
      <c r="H6">
        <f t="shared" si="0"/>
        <v>0.400002149792496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H5" sqref="H5"/>
    </sheetView>
  </sheetViews>
  <sheetFormatPr defaultColWidth="9" defaultRowHeight="14.25" outlineLevelRow="6"/>
  <cols>
    <col min="1" max="1" width="8.39823008849558" customWidth="1"/>
    <col min="2" max="7" width="12.7964601769912" customWidth="1"/>
    <col min="10" max="10" width="12.7964601769912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t="s">
        <v>7</v>
      </c>
      <c r="B2">
        <v>0.436916209424264</v>
      </c>
      <c r="C2">
        <v>0.393906976086052</v>
      </c>
      <c r="D2">
        <v>0.40027348582557</v>
      </c>
      <c r="E2">
        <v>0.314191470070438</v>
      </c>
      <c r="F2">
        <v>0.351911819820278</v>
      </c>
      <c r="G2">
        <v>0.323868904876645</v>
      </c>
      <c r="H2">
        <f t="shared" ref="H2:H6" si="0">AVERAGE(B2:G2)</f>
        <v>0.370178144350541</v>
      </c>
    </row>
    <row r="3" spans="1:10">
      <c r="A3" t="s">
        <v>8</v>
      </c>
      <c r="B3">
        <v>0.326508024580278</v>
      </c>
      <c r="C3">
        <v>0.172732163344915</v>
      </c>
      <c r="D3">
        <v>0.277425940722272</v>
      </c>
      <c r="E3">
        <v>0.312418283173313</v>
      </c>
      <c r="F3">
        <v>0.353576846346067</v>
      </c>
      <c r="G3">
        <v>0.251192845420263</v>
      </c>
      <c r="H3">
        <f t="shared" si="0"/>
        <v>0.282309017264518</v>
      </c>
    </row>
    <row r="4" spans="1:10">
      <c r="A4" t="s">
        <v>9</v>
      </c>
      <c r="B4">
        <v>0.339229910129962</v>
      </c>
      <c r="C4">
        <v>0.380779951818506</v>
      </c>
      <c r="D4">
        <v>0.307694709920998</v>
      </c>
      <c r="E4">
        <v>0.346741747571041</v>
      </c>
      <c r="F4">
        <v>0.291175939073427</v>
      </c>
      <c r="G4">
        <v>0.247422912970988</v>
      </c>
      <c r="H4">
        <f t="shared" si="0"/>
        <v>0.318840861914154</v>
      </c>
    </row>
    <row r="5" spans="1:10">
      <c r="A5" t="s">
        <v>10</v>
      </c>
      <c r="B5">
        <v>0.183113455182261</v>
      </c>
      <c r="C5">
        <v>0.184756385665066</v>
      </c>
      <c r="D5">
        <v>0.145027170611769</v>
      </c>
      <c r="E5">
        <v>0.10582240190501</v>
      </c>
      <c r="F5">
        <v>0.14707457655542</v>
      </c>
      <c r="H5">
        <f t="shared" si="0"/>
        <v>0.153158797983905</v>
      </c>
    </row>
    <row r="6" spans="1:10">
      <c r="A6" t="s">
        <v>11</v>
      </c>
      <c r="B6">
        <v>0.394851733468561</v>
      </c>
      <c r="C6">
        <v>0.381877066531023</v>
      </c>
      <c r="D6">
        <v>0.404087692024005</v>
      </c>
      <c r="E6">
        <v>0.461616934951218</v>
      </c>
      <c r="F6">
        <v>0.393284085273294</v>
      </c>
      <c r="G6">
        <v>0.405353027141901</v>
      </c>
      <c r="H6">
        <f t="shared" si="0"/>
        <v>0.406845089898334</v>
      </c>
    </row>
    <row r="7" spans="1:10">
      <c r="I7">
        <v>0.209729419634428</v>
      </c>
      <c r="J7">
        <f>I7*1.5</f>
        <v>0.314594129451642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20" sqref="G20"/>
    </sheetView>
  </sheetViews>
  <sheetFormatPr defaultColWidth="9" defaultRowHeight="14.25" outlineLevelRow="5" outlineLevelCol="7"/>
  <cols>
    <col min="1" max="1" width="8.39823008849558" customWidth="1"/>
    <col min="2" max="7" width="12.796460176991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0.326545231697616</v>
      </c>
      <c r="C2">
        <v>0.313281271660658</v>
      </c>
      <c r="D2">
        <v>0.391815412345452</v>
      </c>
      <c r="E2">
        <v>0.436718570767571</v>
      </c>
      <c r="F2">
        <v>0.334998500564184</v>
      </c>
      <c r="G2">
        <v>0.321356600328033</v>
      </c>
      <c r="H2">
        <f t="shared" ref="H2:H6" si="0">AVERAGE(B2:G2)</f>
        <v>0.354119264560586</v>
      </c>
    </row>
    <row r="3" spans="1:8">
      <c r="A3" t="s">
        <v>8</v>
      </c>
      <c r="B3">
        <v>0.332749216767674</v>
      </c>
      <c r="C3">
        <v>0.293116795134347</v>
      </c>
      <c r="D3">
        <v>0.265274578360258</v>
      </c>
      <c r="E3">
        <v>0.256506646356006</v>
      </c>
      <c r="G3">
        <v>0.148903989992189</v>
      </c>
      <c r="H3">
        <f t="shared" si="0"/>
        <v>0.259310245322095</v>
      </c>
    </row>
    <row r="4" spans="1:8">
      <c r="A4" t="s">
        <v>9</v>
      </c>
      <c r="B4">
        <v>0.396879513944551</v>
      </c>
      <c r="C4">
        <v>0.376201251244192</v>
      </c>
      <c r="D4">
        <v>0.299422450732281</v>
      </c>
      <c r="E4">
        <v>0.360473858002901</v>
      </c>
      <c r="F4">
        <v>0.342394285391708</v>
      </c>
      <c r="G4">
        <v>0.290431743964809</v>
      </c>
      <c r="H4">
        <f t="shared" si="0"/>
        <v>0.344300517213407</v>
      </c>
    </row>
    <row r="5" spans="1:8">
      <c r="A5" t="s">
        <v>10</v>
      </c>
      <c r="B5">
        <v>0.326006431281217</v>
      </c>
      <c r="C5">
        <v>0.151689800374278</v>
      </c>
      <c r="D5">
        <v>0.280549311686081</v>
      </c>
      <c r="E5">
        <v>0.167546062465767</v>
      </c>
      <c r="F5">
        <v>0.186934132177617</v>
      </c>
      <c r="G5">
        <v>0.132921232554211</v>
      </c>
      <c r="H5">
        <f t="shared" si="0"/>
        <v>0.207607828423195</v>
      </c>
    </row>
    <row r="6" spans="1:8">
      <c r="A6" t="s">
        <v>11</v>
      </c>
      <c r="B6">
        <v>0.469789432955241</v>
      </c>
      <c r="C6">
        <v>0.431346915380946</v>
      </c>
      <c r="D6">
        <v>0.453355289814983</v>
      </c>
      <c r="E6">
        <v>0.398299961485432</v>
      </c>
      <c r="F6">
        <v>0.505596059489236</v>
      </c>
      <c r="G6">
        <v>0.409355848274587</v>
      </c>
      <c r="H6">
        <f t="shared" si="0"/>
        <v>0.444623917900071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f09i</vt:lpstr>
      <vt:lpstr>f09r</vt:lpstr>
      <vt:lpstr>f10i</vt:lpstr>
      <vt:lpstr>f10r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南城小漫</cp:lastModifiedBy>
  <dcterms:created xsi:type="dcterms:W3CDTF">2026-09-22T14:01:10Z</dcterms:created>
  <dcterms:modified xsi:type="dcterms:W3CDTF">2026-09-22T14:14:31Z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C68621E45A3E4F1F87AD59FD3D00B309_12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